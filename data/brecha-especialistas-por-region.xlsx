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glob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<sst xmlns="http://schemas.openxmlformats.org/spreadsheetml/2006/main" count="67" uniqueCount="47">
  <si>
    <t xml:space="preserve">BRECHA DE ESPECIALISTAS POR REGIÓN, NIVEL DE ATENCIÓN Y ÁREA DE SALUD — MINSA PERÚ 2025</t>
  </si>
  <si>
    <t xml:space="preserve">1er nivel = postas y centros de salud  |  2do nivel = hospitales generales  |  3er nivel = institutos especializados  |  TMM = muertes maternas / nacidos vivos × 100,000  |  Fuentes: MINSA RRHH 2025, CDC-MINSA, Observatorio DPCAN, HIS-MINSA 2025</t>
  </si>
  <si>
    <t xml:space="preserve">CARGA DE ENFERMEDAD</t>
  </si>
  <si>
    <t xml:space="preserve">CÁNCER
Oncólogo</t>
  </si>
  <si>
    <t xml:space="preserve">CÁNCER
Cirujano oncólogo</t>
  </si>
  <si>
    <t xml:space="preserve">SALUD MENTAL
Psiquiatra</t>
  </si>
  <si>
    <t xml:space="preserve">SALUD MENTAL
Psicólogo</t>
  </si>
  <si>
    <t xml:space="preserve">MATERNIDAD
Obstetra</t>
  </si>
  <si>
    <t xml:space="preserve">MATERNIDAD
Ginecólogo</t>
  </si>
  <si>
    <t xml:space="preserve">Región</t>
  </si>
  <si>
    <t xml:space="preserve">Pacientes
cáncer</t>
  </si>
  <si>
    <t xml:space="preserve">Casos
salud mental</t>
  </si>
  <si>
    <t xml:space="preserve">Nacimientos</t>
  </si>
  <si>
    <t xml:space="preserve">Muerte
materna</t>
  </si>
  <si>
    <t xml:space="preserve">Muerte
neonatal*</t>
  </si>
  <si>
    <t xml:space="preserve">TMM x
100k nac.</t>
  </si>
  <si>
    <t xml:space="preserve">1er
nivel</t>
  </si>
  <si>
    <t xml:space="preserve">2do
nivel</t>
  </si>
  <si>
    <t xml:space="preserve">3er
nivel</t>
  </si>
  <si>
    <t xml:space="preserve">TOTAL</t>
  </si>
  <si>
    <t xml:space="preserve">Amazonas</t>
  </si>
  <si>
    <t xml:space="preserve">Apurímac</t>
  </si>
  <si>
    <t xml:space="preserve">Arequipa</t>
  </si>
  <si>
    <t xml:space="preserve">Ayacucho</t>
  </si>
  <si>
    <t xml:space="preserve">Cajamarca</t>
  </si>
  <si>
    <t xml:space="preserve">Callao</t>
  </si>
  <si>
    <t xml:space="preserve">Cusco</t>
  </si>
  <si>
    <t xml:space="preserve">Huancavelica</t>
  </si>
  <si>
    <t xml:space="preserve">Huánuco</t>
  </si>
  <si>
    <t xml:space="preserve">Ica</t>
  </si>
  <si>
    <t xml:space="preserve">Junín</t>
  </si>
  <si>
    <t xml:space="preserve">La Libertad</t>
  </si>
  <si>
    <t xml:space="preserve">Lambayeque</t>
  </si>
  <si>
    <t xml:space="preserve">Lima Metropolitana</t>
  </si>
  <si>
    <t xml:space="preserve">Loreto</t>
  </si>
  <si>
    <t xml:space="preserve">Madre de Dios</t>
  </si>
  <si>
    <t xml:space="preserve">Moquegua</t>
  </si>
  <si>
    <t xml:space="preserve">Pasco</t>
  </si>
  <si>
    <t xml:space="preserve">Piura</t>
  </si>
  <si>
    <t xml:space="preserve">Puno</t>
  </si>
  <si>
    <t xml:space="preserve">San Martín</t>
  </si>
  <si>
    <t xml:space="preserve">Tacna</t>
  </si>
  <si>
    <t xml:space="preserve">Tumbes</t>
  </si>
  <si>
    <t xml:space="preserve">Ucayali</t>
  </si>
  <si>
    <t xml:space="preserve">Áncash</t>
  </si>
  <si>
    <t xml:space="preserve">TOTAL NACIONAL</t>
  </si>
  <si>
    <t xml:space="preserve">Rojo en TOTAL = región sin ningún especialista de ese tipo. Ceros en gris = sin personal en ese nivel específico. TMM rojo ≥100, amarillo 50-99 (meta ODS 2030: &lt;70). * Muerte neonatal: aproximados de Sistema Vigilancia MINSA. Salud mental: suma depresivo mod/grave + psicosis + intento suicida (CDC-MINSA 2025). Cáncer: Observatorio DPCAN-MINSA 2025. Obstetras incluyen SERUMS.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</si>
</sst>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BBBBBB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0"/>
      <color rgb="FF1A3A4A"/>
      <name val="Arial"/>
      <family val="0"/>
      <charset val="1"/>
    </font>
    <font>
      <i val="true"/>
      <sz val="9"/>
      <color rgb="FF5D4037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3A4A"/>
        <bgColor rgb="FF003366"/>
      </patternFill>
    </fill>
    <fill>
      <patternFill patternType="solid">
        <fgColor rgb="FF2E6B8A"/>
        <bgColor rgb="FF148A72"/>
      </patternFill>
    </fill>
    <fill>
      <patternFill patternType="solid">
        <fgColor rgb="FF7B241C"/>
        <bgColor rgb="FFA93226"/>
      </patternFill>
    </fill>
    <fill>
      <patternFill patternType="solid">
        <fgColor rgb="FFA93226"/>
        <bgColor rgb="FFC0392B"/>
      </patternFill>
    </fill>
    <fill>
      <patternFill patternType="solid">
        <fgColor rgb="FF5B2C6F"/>
        <bgColor rgb="FF5D4037"/>
      </patternFill>
    </fill>
    <fill>
      <patternFill patternType="solid">
        <fgColor rgb="FF7D3C98"/>
        <bgColor rgb="FF5B2C6F"/>
      </patternFill>
    </fill>
    <fill>
      <patternFill patternType="solid">
        <fgColor rgb="FF148A72"/>
        <bgColor rgb="FF339966"/>
      </patternFill>
    </fill>
    <fill>
      <patternFill patternType="solid">
        <fgColor rgb="FFC0392B"/>
        <bgColor rgb="FFA93226"/>
      </patternFill>
    </fill>
    <fill>
      <patternFill patternType="solid">
        <fgColor rgb="FFEAF3FA"/>
        <bgColor rgb="FFE8F8F5"/>
      </patternFill>
    </fill>
    <fill>
      <patternFill patternType="solid">
        <fgColor rgb="FFFDECEA"/>
        <bgColor rgb="FFF5EEF8"/>
      </patternFill>
    </fill>
    <fill>
      <patternFill patternType="solid">
        <fgColor rgb="FFFFCCCC"/>
        <bgColor rgb="FFFDECEA"/>
      </patternFill>
    </fill>
    <fill>
      <patternFill patternType="solid">
        <fgColor rgb="FFFFF5F5"/>
        <bgColor rgb="FFFEF9E7"/>
      </patternFill>
    </fill>
    <fill>
      <patternFill patternType="solid">
        <fgColor rgb="FFFFF8DC"/>
        <bgColor rgb="FFFEF9E7"/>
      </patternFill>
    </fill>
    <fill>
      <patternFill patternType="solid">
        <fgColor rgb="FFF5EEF8"/>
        <bgColor rgb="FFFDECEA"/>
      </patternFill>
    </fill>
    <fill>
      <patternFill patternType="solid">
        <fgColor rgb="FFE8F8F5"/>
        <bgColor rgb="FFEAF3FA"/>
      </patternFill>
    </fill>
    <fill>
      <patternFill patternType="solid">
        <fgColor rgb="FFFFFFFF"/>
        <bgColor rgb="FFFFF5F5"/>
      </patternFill>
    </fill>
    <fill>
      <patternFill patternType="solid">
        <fgColor rgb="FFFEF9E7"/>
        <bgColor rgb="FFFFF8DC"/>
      </patternFill>
    </fill>
    <fill>
      <patternFill patternType="solid">
        <fgColor rgb="FFF4A41B"/>
        <bgColor rgb="FFFFCC00"/>
      </patternFill>
    </fill>
    <fill>
      <patternFill patternType="solid">
        <fgColor rgb="FFFFF3CD"/>
        <bgColor rgb="FFFFF8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808000"/>
      <rgbColor rgb="FF800080"/>
      <rgbColor rgb="FF148A72"/>
      <rgbColor rgb="FFBBBBBB"/>
      <rgbColor rgb="FF808080"/>
      <rgbColor rgb="FF9999FF"/>
      <rgbColor rgb="FF7D3C98"/>
      <rgbColor rgb="FFFFF8DC"/>
      <rgbColor rgb="FFE8F8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2E6B8A"/>
      <rgbColor rgb="FF0000FF"/>
      <rgbColor rgb="FF00CCFF"/>
      <rgbColor rgb="FFEAF3FA"/>
      <rgbColor rgb="FFFEF9E7"/>
      <rgbColor rgb="FFFFF3CD"/>
      <rgbColor rgb="FFF5EEF8"/>
      <rgbColor rgb="FFFDECEA"/>
      <rgbColor rgb="FFFFF5F5"/>
      <rgbColor rgb="FFFFCCCC"/>
      <rgbColor rgb="FF3366FF"/>
      <rgbColor rgb="FF33CCCC"/>
      <rgbColor rgb="FF99CC00"/>
      <rgbColor rgb="FFFFCC00"/>
      <rgbColor rgb="FFF4A41B"/>
      <rgbColor rgb="FFFF6600"/>
      <rgbColor rgb="FF666699"/>
      <rgbColor rgb="FF969696"/>
      <rgbColor rgb="FF003366"/>
      <rgbColor rgb="FF339966"/>
      <rgbColor rgb="FF003300"/>
      <rgbColor rgb="FF5D4037"/>
      <rgbColor rgb="FFA93226"/>
      <rgbColor rgb="FFC0392B"/>
      <rgbColor rgb="FF5B2C6F"/>
      <rgbColor rgb="FF1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4" min="12" style="0" width="8"/>
    <col collapsed="false" customWidth="true" hidden="false" outlineLevel="0" max="15" min="15" style="0" width="10"/>
    <col collapsed="false" customWidth="true" hidden="false" outlineLevel="0" max="18" min="16" style="0" width="8"/>
    <col collapsed="false" customWidth="true" hidden="false" outlineLevel="0" max="19" min="19" style="0" width="10"/>
    <col collapsed="false" customWidth="true" hidden="false" outlineLevel="0" max="22" min="20" style="0" width="8"/>
    <col collapsed="false" customWidth="true" hidden="false" outlineLevel="0" max="23" min="23" style="0" width="10"/>
    <col collapsed="false" customWidth="true" hidden="false" outlineLevel="0" max="26" min="24" style="0" width="8"/>
    <col collapsed="false" customWidth="true" hidden="false" outlineLevel="0" max="27" min="27" style="0" width="10"/>
    <col collapsed="false" customWidth="true" hidden="false" outlineLevel="0" max="30" min="28" style="0" width="8"/>
    <col collapsed="false" customWidth="true" hidden="false" outlineLevel="0" max="31" min="31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31.5" hidden="false" customHeight="true" outlineLevel="0" collapsed="false">
      <c r="A3" s="3"/>
      <c r="B3" s="4" t="s">
        <v>2</v>
      </c>
      <c r="C3" s="4"/>
      <c r="D3" s="4"/>
      <c r="E3" s="4"/>
      <c r="F3" s="4"/>
      <c r="G3" s="4"/>
      <c r="H3" s="5" t="s">
        <v>3</v>
      </c>
      <c r="I3" s="5"/>
      <c r="J3" s="5"/>
      <c r="K3" s="5"/>
      <c r="L3" s="6" t="s">
        <v>4</v>
      </c>
      <c r="M3" s="6"/>
      <c r="N3" s="6"/>
      <c r="O3" s="6"/>
      <c r="P3" s="7" t="s">
        <v>5</v>
      </c>
      <c r="Q3" s="7"/>
      <c r="R3" s="7"/>
      <c r="S3" s="7"/>
      <c r="T3" s="8" t="s">
        <v>6</v>
      </c>
      <c r="U3" s="8"/>
      <c r="V3" s="8"/>
      <c r="W3" s="8"/>
      <c r="X3" s="9" t="s">
        <v>7</v>
      </c>
      <c r="Y3" s="9"/>
      <c r="Z3" s="9"/>
      <c r="AA3" s="9"/>
      <c r="AB3" s="10" t="s">
        <v>8</v>
      </c>
      <c r="AC3" s="10"/>
      <c r="AD3" s="10"/>
      <c r="AE3" s="10"/>
    </row>
    <row r="4" customFormat="false" ht="36" hidden="false" customHeight="true" outlineLevel="0" collapsed="false">
      <c r="A4" s="11" t="s">
        <v>9</v>
      </c>
      <c r="B4" s="12" t="s">
        <v>10</v>
      </c>
      <c r="C4" s="13" t="s">
        <v>11</v>
      </c>
      <c r="D4" s="14" t="s">
        <v>12</v>
      </c>
      <c r="E4" s="14" t="s">
        <v>13</v>
      </c>
      <c r="F4" s="14" t="s">
        <v>14</v>
      </c>
      <c r="G4" s="14" t="s">
        <v>15</v>
      </c>
      <c r="H4" s="15" t="s">
        <v>16</v>
      </c>
      <c r="I4" s="15" t="s">
        <v>17</v>
      </c>
      <c r="J4" s="15" t="s">
        <v>18</v>
      </c>
      <c r="K4" s="12" t="s">
        <v>19</v>
      </c>
      <c r="L4" s="16" t="s">
        <v>16</v>
      </c>
      <c r="M4" s="16" t="s">
        <v>17</v>
      </c>
      <c r="N4" s="16" t="s">
        <v>18</v>
      </c>
      <c r="O4" s="17" t="s">
        <v>19</v>
      </c>
      <c r="P4" s="18" t="s">
        <v>16</v>
      </c>
      <c r="Q4" s="18" t="s">
        <v>17</v>
      </c>
      <c r="R4" s="18" t="s">
        <v>18</v>
      </c>
      <c r="S4" s="13" t="s">
        <v>19</v>
      </c>
      <c r="T4" s="19" t="s">
        <v>16</v>
      </c>
      <c r="U4" s="19" t="s">
        <v>17</v>
      </c>
      <c r="V4" s="19" t="s">
        <v>18</v>
      </c>
      <c r="W4" s="20" t="s">
        <v>19</v>
      </c>
      <c r="X4" s="21" t="s">
        <v>16</v>
      </c>
      <c r="Y4" s="21" t="s">
        <v>17</v>
      </c>
      <c r="Z4" s="21" t="s">
        <v>18</v>
      </c>
      <c r="AA4" s="22" t="s">
        <v>19</v>
      </c>
      <c r="AB4" s="23" t="s">
        <v>16</v>
      </c>
      <c r="AC4" s="23" t="s">
        <v>17</v>
      </c>
      <c r="AD4" s="23" t="s">
        <v>18</v>
      </c>
      <c r="AE4" s="24" t="s">
        <v>19</v>
      </c>
    </row>
    <row r="5" customFormat="false" ht="15.75" hidden="false" customHeight="true" outlineLevel="0" collapsed="false">
      <c r="A5" s="25" t="s">
        <v>20</v>
      </c>
      <c r="B5" s="26" t="n">
        <v>136</v>
      </c>
      <c r="C5" s="26" t="n">
        <v>184</v>
      </c>
      <c r="D5" s="26" t="n">
        <v>4594</v>
      </c>
      <c r="E5" s="26" t="n">
        <v>6</v>
      </c>
      <c r="F5" s="26" t="n">
        <v>58</v>
      </c>
      <c r="G5" s="27" t="n">
        <v>130.6</v>
      </c>
      <c r="H5" s="28" t="n">
        <v>0</v>
      </c>
      <c r="I5" s="28" t="n">
        <v>0</v>
      </c>
      <c r="J5" s="28" t="n">
        <v>0</v>
      </c>
      <c r="K5" s="29" t="n">
        <v>0</v>
      </c>
      <c r="L5" s="28" t="n">
        <v>0</v>
      </c>
      <c r="M5" s="30" t="n">
        <v>2</v>
      </c>
      <c r="N5" s="28" t="n">
        <v>0</v>
      </c>
      <c r="O5" s="31" t="n">
        <v>2</v>
      </c>
      <c r="P5" s="32" t="n">
        <v>7</v>
      </c>
      <c r="Q5" s="32" t="n">
        <v>10</v>
      </c>
      <c r="R5" s="28" t="n">
        <v>0</v>
      </c>
      <c r="S5" s="31" t="n">
        <v>17</v>
      </c>
      <c r="T5" s="32" t="n">
        <v>558</v>
      </c>
      <c r="U5" s="32" t="n">
        <v>29</v>
      </c>
      <c r="V5" s="28" t="n">
        <v>0</v>
      </c>
      <c r="W5" s="31" t="n">
        <v>587</v>
      </c>
      <c r="X5" s="33" t="n">
        <v>1730</v>
      </c>
      <c r="Y5" s="33" t="n">
        <v>103</v>
      </c>
      <c r="Z5" s="28" t="n">
        <v>0</v>
      </c>
      <c r="AA5" s="31" t="n">
        <v>1833</v>
      </c>
      <c r="AB5" s="33" t="n">
        <v>11</v>
      </c>
      <c r="AC5" s="33" t="n">
        <v>45</v>
      </c>
      <c r="AD5" s="28" t="n">
        <v>0</v>
      </c>
      <c r="AE5" s="31" t="n">
        <v>56</v>
      </c>
    </row>
    <row r="6" customFormat="false" ht="15.75" hidden="false" customHeight="true" outlineLevel="0" collapsed="false">
      <c r="A6" s="34" t="s">
        <v>21</v>
      </c>
      <c r="B6" s="35" t="n">
        <v>385</v>
      </c>
      <c r="C6" s="35" t="n">
        <v>377</v>
      </c>
      <c r="D6" s="35" t="n">
        <v>5320</v>
      </c>
      <c r="E6" s="35" t="n">
        <v>2</v>
      </c>
      <c r="F6" s="35" t="n">
        <v>17</v>
      </c>
      <c r="G6" s="36" t="n">
        <v>37.6</v>
      </c>
      <c r="H6" s="37" t="n">
        <v>0</v>
      </c>
      <c r="I6" s="30" t="n">
        <v>1</v>
      </c>
      <c r="J6" s="37" t="n">
        <v>0</v>
      </c>
      <c r="K6" s="31" t="n">
        <v>1</v>
      </c>
      <c r="L6" s="37" t="n">
        <v>0</v>
      </c>
      <c r="M6" s="30" t="n">
        <v>1</v>
      </c>
      <c r="N6" s="37" t="n">
        <v>0</v>
      </c>
      <c r="O6" s="31" t="n">
        <v>1</v>
      </c>
      <c r="P6" s="32" t="n">
        <v>3</v>
      </c>
      <c r="Q6" s="32" t="n">
        <v>6</v>
      </c>
      <c r="R6" s="37" t="n">
        <v>0</v>
      </c>
      <c r="S6" s="31" t="n">
        <v>9</v>
      </c>
      <c r="T6" s="32" t="n">
        <v>689</v>
      </c>
      <c r="U6" s="32" t="n">
        <v>41</v>
      </c>
      <c r="V6" s="37" t="n">
        <v>0</v>
      </c>
      <c r="W6" s="31" t="n">
        <v>730</v>
      </c>
      <c r="X6" s="33" t="n">
        <v>1963</v>
      </c>
      <c r="Y6" s="33" t="n">
        <v>118</v>
      </c>
      <c r="Z6" s="37" t="n">
        <v>0</v>
      </c>
      <c r="AA6" s="31" t="n">
        <v>2081</v>
      </c>
      <c r="AB6" s="33" t="n">
        <v>80</v>
      </c>
      <c r="AC6" s="33" t="n">
        <v>33</v>
      </c>
      <c r="AD6" s="37" t="n">
        <v>0</v>
      </c>
      <c r="AE6" s="31" t="n">
        <v>113</v>
      </c>
    </row>
    <row r="7" customFormat="false" ht="15.75" hidden="false" customHeight="true" outlineLevel="0" collapsed="false">
      <c r="A7" s="25" t="s">
        <v>22</v>
      </c>
      <c r="B7" s="26" t="n">
        <v>2180</v>
      </c>
      <c r="C7" s="26" t="n">
        <v>989</v>
      </c>
      <c r="D7" s="26" t="n">
        <v>16099</v>
      </c>
      <c r="E7" s="26" t="n">
        <v>6</v>
      </c>
      <c r="F7" s="26" t="n">
        <v>95</v>
      </c>
      <c r="G7" s="38" t="n">
        <v>37.3</v>
      </c>
      <c r="H7" s="30" t="n">
        <v>3</v>
      </c>
      <c r="I7" s="28" t="n">
        <v>0</v>
      </c>
      <c r="J7" s="30" t="n">
        <v>20</v>
      </c>
      <c r="K7" s="31" t="n">
        <v>23</v>
      </c>
      <c r="L7" s="30" t="n">
        <v>1</v>
      </c>
      <c r="M7" s="28" t="n">
        <v>0</v>
      </c>
      <c r="N7" s="30" t="n">
        <v>22</v>
      </c>
      <c r="O7" s="31" t="n">
        <v>23</v>
      </c>
      <c r="P7" s="32" t="n">
        <v>34</v>
      </c>
      <c r="Q7" s="32" t="n">
        <v>2</v>
      </c>
      <c r="R7" s="32" t="n">
        <v>5</v>
      </c>
      <c r="S7" s="31" t="n">
        <v>41</v>
      </c>
      <c r="T7" s="32" t="n">
        <v>841</v>
      </c>
      <c r="U7" s="32" t="n">
        <v>19</v>
      </c>
      <c r="V7" s="32" t="n">
        <v>24</v>
      </c>
      <c r="W7" s="31" t="n">
        <v>884</v>
      </c>
      <c r="X7" s="33" t="n">
        <v>1437</v>
      </c>
      <c r="Y7" s="33" t="n">
        <v>66</v>
      </c>
      <c r="Z7" s="33" t="n">
        <v>85</v>
      </c>
      <c r="AA7" s="31" t="n">
        <v>1588</v>
      </c>
      <c r="AB7" s="33" t="n">
        <v>49</v>
      </c>
      <c r="AC7" s="33" t="n">
        <v>30</v>
      </c>
      <c r="AD7" s="33" t="n">
        <v>49</v>
      </c>
      <c r="AE7" s="31" t="n">
        <v>128</v>
      </c>
    </row>
    <row r="8" customFormat="false" ht="15.75" hidden="false" customHeight="true" outlineLevel="0" collapsed="false">
      <c r="A8" s="34" t="s">
        <v>23</v>
      </c>
      <c r="B8" s="35" t="n">
        <v>1021</v>
      </c>
      <c r="C8" s="35" t="n">
        <v>499</v>
      </c>
      <c r="D8" s="35" t="n">
        <v>7872</v>
      </c>
      <c r="E8" s="35" t="n">
        <v>4</v>
      </c>
      <c r="F8" s="35" t="n">
        <v>40</v>
      </c>
      <c r="G8" s="39" t="n">
        <v>50.8</v>
      </c>
      <c r="H8" s="30" t="n">
        <v>1</v>
      </c>
      <c r="I8" s="30" t="n">
        <v>11</v>
      </c>
      <c r="J8" s="37" t="n">
        <v>0</v>
      </c>
      <c r="K8" s="31" t="n">
        <v>12</v>
      </c>
      <c r="L8" s="37" t="n">
        <v>0</v>
      </c>
      <c r="M8" s="30" t="n">
        <v>2</v>
      </c>
      <c r="N8" s="37" t="n">
        <v>0</v>
      </c>
      <c r="O8" s="31" t="n">
        <v>2</v>
      </c>
      <c r="P8" s="32" t="n">
        <v>18</v>
      </c>
      <c r="Q8" s="32" t="n">
        <v>19</v>
      </c>
      <c r="R8" s="37" t="n">
        <v>0</v>
      </c>
      <c r="S8" s="31" t="n">
        <v>37</v>
      </c>
      <c r="T8" s="32" t="n">
        <v>841</v>
      </c>
      <c r="U8" s="32" t="n">
        <v>87</v>
      </c>
      <c r="V8" s="37" t="n">
        <v>0</v>
      </c>
      <c r="W8" s="31" t="n">
        <v>928</v>
      </c>
      <c r="X8" s="33" t="n">
        <v>1965</v>
      </c>
      <c r="Y8" s="33" t="n">
        <v>326</v>
      </c>
      <c r="Z8" s="37" t="n">
        <v>0</v>
      </c>
      <c r="AA8" s="31" t="n">
        <v>2291</v>
      </c>
      <c r="AB8" s="33" t="n">
        <v>18</v>
      </c>
      <c r="AC8" s="33" t="n">
        <v>129</v>
      </c>
      <c r="AD8" s="37" t="n">
        <v>0</v>
      </c>
      <c r="AE8" s="31" t="n">
        <v>147</v>
      </c>
    </row>
    <row r="9" customFormat="false" ht="15.75" hidden="false" customHeight="true" outlineLevel="0" collapsed="false">
      <c r="A9" s="25" t="s">
        <v>24</v>
      </c>
      <c r="B9" s="26" t="n">
        <v>1181</v>
      </c>
      <c r="C9" s="26" t="n">
        <v>1014</v>
      </c>
      <c r="D9" s="26" t="n">
        <v>17624</v>
      </c>
      <c r="E9" s="26" t="n">
        <v>16</v>
      </c>
      <c r="F9" s="26" t="n">
        <v>140</v>
      </c>
      <c r="G9" s="39" t="n">
        <v>90.8</v>
      </c>
      <c r="H9" s="28" t="n">
        <v>0</v>
      </c>
      <c r="I9" s="30" t="n">
        <v>11</v>
      </c>
      <c r="J9" s="28" t="n">
        <v>0</v>
      </c>
      <c r="K9" s="31" t="n">
        <v>11</v>
      </c>
      <c r="L9" s="30" t="n">
        <v>2</v>
      </c>
      <c r="M9" s="30" t="n">
        <v>16</v>
      </c>
      <c r="N9" s="28" t="n">
        <v>0</v>
      </c>
      <c r="O9" s="31" t="n">
        <v>18</v>
      </c>
      <c r="P9" s="32" t="n">
        <v>24</v>
      </c>
      <c r="Q9" s="32" t="n">
        <v>13</v>
      </c>
      <c r="R9" s="28" t="n">
        <v>0</v>
      </c>
      <c r="S9" s="31" t="n">
        <v>37</v>
      </c>
      <c r="T9" s="32" t="n">
        <v>1341</v>
      </c>
      <c r="U9" s="32" t="n">
        <v>263</v>
      </c>
      <c r="V9" s="28" t="n">
        <v>0</v>
      </c>
      <c r="W9" s="31" t="n">
        <v>1604</v>
      </c>
      <c r="X9" s="33" t="n">
        <v>2995</v>
      </c>
      <c r="Y9" s="33" t="n">
        <v>250</v>
      </c>
      <c r="Z9" s="28" t="n">
        <v>0</v>
      </c>
      <c r="AA9" s="31" t="n">
        <v>3245</v>
      </c>
      <c r="AB9" s="33" t="n">
        <v>174</v>
      </c>
      <c r="AC9" s="33" t="n">
        <v>119</v>
      </c>
      <c r="AD9" s="28" t="n">
        <v>0</v>
      </c>
      <c r="AE9" s="31" t="n">
        <v>293</v>
      </c>
    </row>
    <row r="10" customFormat="false" ht="15.75" hidden="false" customHeight="true" outlineLevel="0" collapsed="false">
      <c r="A10" s="34" t="s">
        <v>25</v>
      </c>
      <c r="B10" s="35" t="n">
        <v>763</v>
      </c>
      <c r="C10" s="35" t="n">
        <v>905</v>
      </c>
      <c r="D10" s="35" t="n">
        <v>11891</v>
      </c>
      <c r="E10" s="35" t="n">
        <v>2</v>
      </c>
      <c r="F10" s="35" t="n">
        <v>82</v>
      </c>
      <c r="G10" s="36" t="n">
        <v>16.8</v>
      </c>
      <c r="H10" s="37" t="n">
        <v>0</v>
      </c>
      <c r="I10" s="37" t="n">
        <v>0</v>
      </c>
      <c r="J10" s="30" t="n">
        <v>18</v>
      </c>
      <c r="K10" s="31" t="n">
        <v>18</v>
      </c>
      <c r="L10" s="37" t="n">
        <v>0</v>
      </c>
      <c r="M10" s="30" t="n">
        <v>5</v>
      </c>
      <c r="N10" s="30" t="n">
        <v>13</v>
      </c>
      <c r="O10" s="31" t="n">
        <v>18</v>
      </c>
      <c r="P10" s="32" t="n">
        <v>8</v>
      </c>
      <c r="Q10" s="32" t="n">
        <v>1</v>
      </c>
      <c r="R10" s="32" t="n">
        <v>5</v>
      </c>
      <c r="S10" s="31" t="n">
        <v>14</v>
      </c>
      <c r="T10" s="32" t="n">
        <v>310</v>
      </c>
      <c r="U10" s="32" t="n">
        <v>22</v>
      </c>
      <c r="V10" s="32" t="n">
        <v>23</v>
      </c>
      <c r="W10" s="31" t="n">
        <v>355</v>
      </c>
      <c r="X10" s="33" t="n">
        <v>517</v>
      </c>
      <c r="Y10" s="33" t="n">
        <v>87</v>
      </c>
      <c r="Z10" s="33" t="n">
        <v>44</v>
      </c>
      <c r="AA10" s="31" t="n">
        <v>648</v>
      </c>
      <c r="AB10" s="33" t="n">
        <v>17</v>
      </c>
      <c r="AC10" s="33" t="n">
        <v>25</v>
      </c>
      <c r="AD10" s="33" t="n">
        <v>42</v>
      </c>
      <c r="AE10" s="31" t="n">
        <v>84</v>
      </c>
    </row>
    <row r="11" customFormat="false" ht="15.75" hidden="false" customHeight="true" outlineLevel="0" collapsed="false">
      <c r="A11" s="25" t="s">
        <v>26</v>
      </c>
      <c r="B11" s="26" t="n">
        <v>2330</v>
      </c>
      <c r="C11" s="26" t="n">
        <v>1728</v>
      </c>
      <c r="D11" s="26" t="n">
        <v>16194</v>
      </c>
      <c r="E11" s="26" t="n">
        <v>10</v>
      </c>
      <c r="F11" s="26" t="n">
        <v>100</v>
      </c>
      <c r="G11" s="39" t="n">
        <v>61.8</v>
      </c>
      <c r="H11" s="30" t="n">
        <v>1</v>
      </c>
      <c r="I11" s="30" t="n">
        <v>1</v>
      </c>
      <c r="J11" s="30" t="n">
        <v>7</v>
      </c>
      <c r="K11" s="31" t="n">
        <v>9</v>
      </c>
      <c r="L11" s="30" t="n">
        <v>7</v>
      </c>
      <c r="M11" s="28" t="n">
        <v>0</v>
      </c>
      <c r="N11" s="30" t="n">
        <v>5</v>
      </c>
      <c r="O11" s="31" t="n">
        <v>12</v>
      </c>
      <c r="P11" s="32" t="n">
        <v>27</v>
      </c>
      <c r="Q11" s="32" t="n">
        <v>4</v>
      </c>
      <c r="R11" s="32" t="n">
        <v>3</v>
      </c>
      <c r="S11" s="31" t="n">
        <v>34</v>
      </c>
      <c r="T11" s="32" t="n">
        <v>792</v>
      </c>
      <c r="U11" s="32" t="n">
        <v>46</v>
      </c>
      <c r="V11" s="32" t="n">
        <v>17</v>
      </c>
      <c r="W11" s="31" t="n">
        <v>855</v>
      </c>
      <c r="X11" s="33" t="n">
        <v>2112</v>
      </c>
      <c r="Y11" s="33" t="n">
        <v>252</v>
      </c>
      <c r="Z11" s="33" t="n">
        <v>95</v>
      </c>
      <c r="AA11" s="31" t="n">
        <v>2459</v>
      </c>
      <c r="AB11" s="33" t="n">
        <v>175</v>
      </c>
      <c r="AC11" s="33" t="n">
        <v>46</v>
      </c>
      <c r="AD11" s="33" t="n">
        <v>23</v>
      </c>
      <c r="AE11" s="31" t="n">
        <v>244</v>
      </c>
    </row>
    <row r="12" customFormat="false" ht="15.75" hidden="false" customHeight="true" outlineLevel="0" collapsed="false">
      <c r="A12" s="34" t="s">
        <v>27</v>
      </c>
      <c r="B12" s="35" t="n">
        <v>133</v>
      </c>
      <c r="C12" s="35" t="n">
        <v>384</v>
      </c>
      <c r="D12" s="35" t="n">
        <v>3555</v>
      </c>
      <c r="E12" s="35" t="n">
        <v>3</v>
      </c>
      <c r="F12" s="35" t="n">
        <v>20</v>
      </c>
      <c r="G12" s="39" t="n">
        <v>84.4</v>
      </c>
      <c r="H12" s="37" t="n">
        <v>0</v>
      </c>
      <c r="I12" s="30" t="n">
        <v>5</v>
      </c>
      <c r="J12" s="37" t="n">
        <v>0</v>
      </c>
      <c r="K12" s="31" t="n">
        <v>5</v>
      </c>
      <c r="L12" s="37" t="n">
        <v>0</v>
      </c>
      <c r="M12" s="37" t="n">
        <v>0</v>
      </c>
      <c r="N12" s="37" t="n">
        <v>0</v>
      </c>
      <c r="O12" s="29" t="n">
        <v>0</v>
      </c>
      <c r="P12" s="32" t="n">
        <v>6</v>
      </c>
      <c r="Q12" s="32" t="n">
        <v>5</v>
      </c>
      <c r="R12" s="37" t="n">
        <v>0</v>
      </c>
      <c r="S12" s="31" t="n">
        <v>11</v>
      </c>
      <c r="T12" s="32" t="n">
        <v>1100</v>
      </c>
      <c r="U12" s="32" t="n">
        <v>34</v>
      </c>
      <c r="V12" s="37" t="n">
        <v>0</v>
      </c>
      <c r="W12" s="31" t="n">
        <v>1134</v>
      </c>
      <c r="X12" s="33" t="n">
        <v>2238</v>
      </c>
      <c r="Y12" s="33" t="n">
        <v>192</v>
      </c>
      <c r="Z12" s="37" t="n">
        <v>0</v>
      </c>
      <c r="AA12" s="31" t="n">
        <v>2430</v>
      </c>
      <c r="AB12" s="33" t="n">
        <v>129</v>
      </c>
      <c r="AC12" s="33" t="n">
        <v>76</v>
      </c>
      <c r="AD12" s="37" t="n">
        <v>0</v>
      </c>
      <c r="AE12" s="31" t="n">
        <v>205</v>
      </c>
    </row>
    <row r="13" customFormat="false" ht="15.75" hidden="false" customHeight="true" outlineLevel="0" collapsed="false">
      <c r="A13" s="25" t="s">
        <v>28</v>
      </c>
      <c r="B13" s="26" t="n">
        <v>341</v>
      </c>
      <c r="C13" s="26" t="n">
        <v>958</v>
      </c>
      <c r="D13" s="26" t="n">
        <v>10892</v>
      </c>
      <c r="E13" s="26" t="n">
        <v>4</v>
      </c>
      <c r="F13" s="26" t="n">
        <v>61</v>
      </c>
      <c r="G13" s="38" t="n">
        <v>36.7</v>
      </c>
      <c r="H13" s="28" t="n">
        <v>0</v>
      </c>
      <c r="I13" s="30" t="n">
        <v>5</v>
      </c>
      <c r="J13" s="28" t="n">
        <v>0</v>
      </c>
      <c r="K13" s="31" t="n">
        <v>5</v>
      </c>
      <c r="L13" s="30" t="n">
        <v>2</v>
      </c>
      <c r="M13" s="28" t="n">
        <v>0</v>
      </c>
      <c r="N13" s="28" t="n">
        <v>0</v>
      </c>
      <c r="O13" s="31" t="n">
        <v>2</v>
      </c>
      <c r="P13" s="32" t="n">
        <v>46</v>
      </c>
      <c r="Q13" s="32" t="n">
        <v>10</v>
      </c>
      <c r="R13" s="28" t="n">
        <v>0</v>
      </c>
      <c r="S13" s="31" t="n">
        <v>56</v>
      </c>
      <c r="T13" s="32" t="n">
        <v>530</v>
      </c>
      <c r="U13" s="32" t="n">
        <v>34</v>
      </c>
      <c r="V13" s="28" t="n">
        <v>0</v>
      </c>
      <c r="W13" s="31" t="n">
        <v>564</v>
      </c>
      <c r="X13" s="33" t="n">
        <v>1646</v>
      </c>
      <c r="Y13" s="33" t="n">
        <v>92</v>
      </c>
      <c r="Z13" s="28" t="n">
        <v>0</v>
      </c>
      <c r="AA13" s="31" t="n">
        <v>1738</v>
      </c>
      <c r="AB13" s="33" t="n">
        <v>98</v>
      </c>
      <c r="AC13" s="33" t="n">
        <v>103</v>
      </c>
      <c r="AD13" s="28" t="n">
        <v>0</v>
      </c>
      <c r="AE13" s="31" t="n">
        <v>201</v>
      </c>
    </row>
    <row r="14" customFormat="false" ht="15.75" hidden="false" customHeight="true" outlineLevel="0" collapsed="false">
      <c r="A14" s="34" t="s">
        <v>29</v>
      </c>
      <c r="B14" s="35" t="n">
        <v>721</v>
      </c>
      <c r="C14" s="35" t="n">
        <v>398</v>
      </c>
      <c r="D14" s="35" t="n">
        <v>13157</v>
      </c>
      <c r="E14" s="35" t="n">
        <v>5</v>
      </c>
      <c r="F14" s="35" t="n">
        <v>45</v>
      </c>
      <c r="G14" s="36" t="n">
        <v>38</v>
      </c>
      <c r="H14" s="30" t="n">
        <v>1</v>
      </c>
      <c r="I14" s="30" t="n">
        <v>7</v>
      </c>
      <c r="J14" s="37" t="n">
        <v>0</v>
      </c>
      <c r="K14" s="31" t="n">
        <v>8</v>
      </c>
      <c r="L14" s="30" t="n">
        <v>3</v>
      </c>
      <c r="M14" s="30" t="n">
        <v>4</v>
      </c>
      <c r="N14" s="37" t="n">
        <v>0</v>
      </c>
      <c r="O14" s="31" t="n">
        <v>7</v>
      </c>
      <c r="P14" s="32" t="n">
        <v>11</v>
      </c>
      <c r="Q14" s="32" t="n">
        <v>8</v>
      </c>
      <c r="R14" s="37" t="n">
        <v>0</v>
      </c>
      <c r="S14" s="31" t="n">
        <v>19</v>
      </c>
      <c r="T14" s="32" t="n">
        <v>320</v>
      </c>
      <c r="U14" s="32" t="n">
        <v>49</v>
      </c>
      <c r="V14" s="37" t="n">
        <v>0</v>
      </c>
      <c r="W14" s="31" t="n">
        <v>369</v>
      </c>
      <c r="X14" s="33" t="n">
        <v>492</v>
      </c>
      <c r="Y14" s="33" t="n">
        <v>189</v>
      </c>
      <c r="Z14" s="37" t="n">
        <v>0</v>
      </c>
      <c r="AA14" s="31" t="n">
        <v>681</v>
      </c>
      <c r="AB14" s="33" t="n">
        <v>16</v>
      </c>
      <c r="AC14" s="33" t="n">
        <v>78</v>
      </c>
      <c r="AD14" s="37" t="n">
        <v>0</v>
      </c>
      <c r="AE14" s="31" t="n">
        <v>94</v>
      </c>
    </row>
    <row r="15" customFormat="false" ht="15.75" hidden="false" customHeight="true" outlineLevel="0" collapsed="false">
      <c r="A15" s="25" t="s">
        <v>30</v>
      </c>
      <c r="B15" s="26" t="n">
        <v>2086</v>
      </c>
      <c r="C15" s="26" t="n">
        <v>1123</v>
      </c>
      <c r="D15" s="26" t="n">
        <v>17598</v>
      </c>
      <c r="E15" s="26" t="n">
        <v>10</v>
      </c>
      <c r="F15" s="26" t="n">
        <v>110</v>
      </c>
      <c r="G15" s="39" t="n">
        <v>56.8</v>
      </c>
      <c r="H15" s="30" t="n">
        <v>1</v>
      </c>
      <c r="I15" s="30" t="n">
        <v>29</v>
      </c>
      <c r="J15" s="30" t="n">
        <v>10</v>
      </c>
      <c r="K15" s="31" t="n">
        <v>40</v>
      </c>
      <c r="L15" s="28" t="n">
        <v>0</v>
      </c>
      <c r="M15" s="30" t="n">
        <v>10</v>
      </c>
      <c r="N15" s="28" t="n">
        <v>0</v>
      </c>
      <c r="O15" s="31" t="n">
        <v>10</v>
      </c>
      <c r="P15" s="32" t="n">
        <v>18</v>
      </c>
      <c r="Q15" s="32" t="n">
        <v>13</v>
      </c>
      <c r="R15" s="32" t="n">
        <v>3</v>
      </c>
      <c r="S15" s="31" t="n">
        <v>34</v>
      </c>
      <c r="T15" s="32" t="n">
        <v>1282</v>
      </c>
      <c r="U15" s="32" t="n">
        <v>69</v>
      </c>
      <c r="V15" s="32" t="n">
        <v>20</v>
      </c>
      <c r="W15" s="31" t="n">
        <v>1371</v>
      </c>
      <c r="X15" s="33" t="n">
        <v>2603</v>
      </c>
      <c r="Y15" s="33" t="n">
        <v>251</v>
      </c>
      <c r="Z15" s="33" t="n">
        <v>62</v>
      </c>
      <c r="AA15" s="31" t="n">
        <v>2916</v>
      </c>
      <c r="AB15" s="33" t="n">
        <v>126</v>
      </c>
      <c r="AC15" s="33" t="n">
        <v>87</v>
      </c>
      <c r="AD15" s="33" t="n">
        <v>34</v>
      </c>
      <c r="AE15" s="31" t="n">
        <v>247</v>
      </c>
    </row>
    <row r="16" customFormat="false" ht="15.75" hidden="false" customHeight="true" outlineLevel="0" collapsed="false">
      <c r="A16" s="34" t="s">
        <v>31</v>
      </c>
      <c r="B16" s="35" t="n">
        <v>1455</v>
      </c>
      <c r="C16" s="35" t="n">
        <v>1116</v>
      </c>
      <c r="D16" s="35" t="n">
        <v>23241</v>
      </c>
      <c r="E16" s="35" t="n">
        <v>11</v>
      </c>
      <c r="F16" s="35" t="n">
        <v>170</v>
      </c>
      <c r="G16" s="36" t="n">
        <v>47.3</v>
      </c>
      <c r="H16" s="37" t="n">
        <v>0</v>
      </c>
      <c r="I16" s="37" t="n">
        <v>0</v>
      </c>
      <c r="J16" s="30" t="n">
        <v>7</v>
      </c>
      <c r="K16" s="31" t="n">
        <v>7</v>
      </c>
      <c r="L16" s="37" t="n">
        <v>0</v>
      </c>
      <c r="M16" s="37" t="n">
        <v>0</v>
      </c>
      <c r="N16" s="30" t="n">
        <v>11</v>
      </c>
      <c r="O16" s="31" t="n">
        <v>11</v>
      </c>
      <c r="P16" s="32" t="n">
        <v>7</v>
      </c>
      <c r="Q16" s="32" t="n">
        <v>1</v>
      </c>
      <c r="R16" s="32" t="n">
        <v>9</v>
      </c>
      <c r="S16" s="31" t="n">
        <v>17</v>
      </c>
      <c r="T16" s="32" t="n">
        <v>931</v>
      </c>
      <c r="U16" s="32" t="n">
        <v>206</v>
      </c>
      <c r="V16" s="32" t="n">
        <v>17</v>
      </c>
      <c r="W16" s="31" t="n">
        <v>1154</v>
      </c>
      <c r="X16" s="33" t="n">
        <v>2146</v>
      </c>
      <c r="Y16" s="33" t="n">
        <v>512</v>
      </c>
      <c r="Z16" s="33" t="n">
        <v>60</v>
      </c>
      <c r="AA16" s="31" t="n">
        <v>2718</v>
      </c>
      <c r="AB16" s="33" t="n">
        <v>109</v>
      </c>
      <c r="AC16" s="33" t="n">
        <v>134</v>
      </c>
      <c r="AD16" s="33" t="n">
        <v>45</v>
      </c>
      <c r="AE16" s="31" t="n">
        <v>288</v>
      </c>
    </row>
    <row r="17" customFormat="false" ht="15.75" hidden="false" customHeight="true" outlineLevel="0" collapsed="false">
      <c r="A17" s="25" t="s">
        <v>32</v>
      </c>
      <c r="B17" s="26" t="n">
        <v>3313</v>
      </c>
      <c r="C17" s="26" t="n">
        <v>339</v>
      </c>
      <c r="D17" s="26" t="n">
        <v>0</v>
      </c>
      <c r="E17" s="26" t="n">
        <v>10</v>
      </c>
      <c r="F17" s="26" t="n">
        <v>108</v>
      </c>
      <c r="G17" s="38" t="n">
        <v>0</v>
      </c>
      <c r="H17" s="28" t="n">
        <v>0</v>
      </c>
      <c r="I17" s="30" t="n">
        <v>3</v>
      </c>
      <c r="J17" s="30" t="n">
        <v>11</v>
      </c>
      <c r="K17" s="31" t="n">
        <v>14</v>
      </c>
      <c r="L17" s="28" t="n">
        <v>0</v>
      </c>
      <c r="M17" s="30" t="n">
        <v>2</v>
      </c>
      <c r="N17" s="30" t="n">
        <v>2</v>
      </c>
      <c r="O17" s="31" t="n">
        <v>4</v>
      </c>
      <c r="P17" s="32" t="n">
        <v>47</v>
      </c>
      <c r="Q17" s="32" t="n">
        <v>5</v>
      </c>
      <c r="R17" s="32" t="n">
        <v>2</v>
      </c>
      <c r="S17" s="31" t="n">
        <v>54</v>
      </c>
      <c r="T17" s="32" t="n">
        <v>727</v>
      </c>
      <c r="U17" s="32" t="n">
        <v>20</v>
      </c>
      <c r="V17" s="32" t="n">
        <v>13</v>
      </c>
      <c r="W17" s="31" t="n">
        <v>760</v>
      </c>
      <c r="X17" s="33" t="n">
        <v>1248</v>
      </c>
      <c r="Y17" s="33" t="n">
        <v>69</v>
      </c>
      <c r="Z17" s="33" t="n">
        <v>30</v>
      </c>
      <c r="AA17" s="31" t="n">
        <v>1347</v>
      </c>
      <c r="AB17" s="33" t="n">
        <v>62</v>
      </c>
      <c r="AC17" s="33" t="n">
        <v>49</v>
      </c>
      <c r="AD17" s="33" t="n">
        <v>26</v>
      </c>
      <c r="AE17" s="31" t="n">
        <v>137</v>
      </c>
    </row>
    <row r="18" customFormat="false" ht="15.75" hidden="false" customHeight="true" outlineLevel="0" collapsed="false">
      <c r="A18" s="34" t="s">
        <v>33</v>
      </c>
      <c r="B18" s="35" t="n">
        <v>141041</v>
      </c>
      <c r="C18" s="35" t="n">
        <v>7420</v>
      </c>
      <c r="D18" s="35" t="n">
        <v>106549</v>
      </c>
      <c r="E18" s="35" t="n">
        <v>30</v>
      </c>
      <c r="F18" s="35" t="n">
        <v>1634</v>
      </c>
      <c r="G18" s="36" t="n">
        <v>28.2</v>
      </c>
      <c r="H18" s="30" t="n">
        <v>13</v>
      </c>
      <c r="I18" s="30" t="n">
        <v>13</v>
      </c>
      <c r="J18" s="30" t="n">
        <v>417</v>
      </c>
      <c r="K18" s="31" t="n">
        <v>443</v>
      </c>
      <c r="L18" s="30" t="n">
        <v>12</v>
      </c>
      <c r="M18" s="30" t="n">
        <v>16</v>
      </c>
      <c r="N18" s="30" t="n">
        <v>28</v>
      </c>
      <c r="O18" s="31" t="n">
        <v>56</v>
      </c>
      <c r="P18" s="32" t="n">
        <v>185</v>
      </c>
      <c r="Q18" s="32" t="n">
        <v>37</v>
      </c>
      <c r="R18" s="32" t="n">
        <v>251</v>
      </c>
      <c r="S18" s="31" t="n">
        <v>473</v>
      </c>
      <c r="T18" s="32" t="n">
        <v>3696</v>
      </c>
      <c r="U18" s="32" t="n">
        <v>139</v>
      </c>
      <c r="V18" s="32" t="n">
        <v>328</v>
      </c>
      <c r="W18" s="31" t="n">
        <v>4163</v>
      </c>
      <c r="X18" s="33" t="n">
        <v>6112</v>
      </c>
      <c r="Y18" s="33" t="n">
        <v>526</v>
      </c>
      <c r="Z18" s="33" t="n">
        <v>597</v>
      </c>
      <c r="AA18" s="31" t="n">
        <v>7235</v>
      </c>
      <c r="AB18" s="33" t="n">
        <v>439</v>
      </c>
      <c r="AC18" s="33" t="n">
        <v>351</v>
      </c>
      <c r="AD18" s="33" t="n">
        <v>442</v>
      </c>
      <c r="AE18" s="31" t="n">
        <v>1232</v>
      </c>
    </row>
    <row r="19" customFormat="false" ht="15.75" hidden="false" customHeight="true" outlineLevel="0" collapsed="false">
      <c r="A19" s="25" t="s">
        <v>34</v>
      </c>
      <c r="B19" s="26" t="n">
        <v>628</v>
      </c>
      <c r="C19" s="26" t="n">
        <v>895</v>
      </c>
      <c r="D19" s="26" t="n">
        <v>17476</v>
      </c>
      <c r="E19" s="26" t="n">
        <v>34</v>
      </c>
      <c r="F19" s="26" t="n">
        <v>58</v>
      </c>
      <c r="G19" s="27" t="n">
        <v>194.6</v>
      </c>
      <c r="H19" s="28" t="n">
        <v>0</v>
      </c>
      <c r="I19" s="28" t="n">
        <v>0</v>
      </c>
      <c r="J19" s="30" t="n">
        <v>8</v>
      </c>
      <c r="K19" s="31" t="n">
        <v>8</v>
      </c>
      <c r="L19" s="28" t="n">
        <v>0</v>
      </c>
      <c r="M19" s="28" t="n">
        <v>0</v>
      </c>
      <c r="N19" s="30" t="n">
        <v>6</v>
      </c>
      <c r="O19" s="31" t="n">
        <v>6</v>
      </c>
      <c r="P19" s="32" t="n">
        <v>13</v>
      </c>
      <c r="Q19" s="32" t="n">
        <v>1</v>
      </c>
      <c r="R19" s="32" t="n">
        <v>2</v>
      </c>
      <c r="S19" s="31" t="n">
        <v>16</v>
      </c>
      <c r="T19" s="32" t="n">
        <v>434</v>
      </c>
      <c r="U19" s="32" t="n">
        <v>19</v>
      </c>
      <c r="V19" s="32" t="n">
        <v>10</v>
      </c>
      <c r="W19" s="31" t="n">
        <v>463</v>
      </c>
      <c r="X19" s="33" t="n">
        <v>2307</v>
      </c>
      <c r="Y19" s="33" t="n">
        <v>105</v>
      </c>
      <c r="Z19" s="33" t="n">
        <v>59</v>
      </c>
      <c r="AA19" s="31" t="n">
        <v>2471</v>
      </c>
      <c r="AB19" s="33" t="n">
        <v>57</v>
      </c>
      <c r="AC19" s="33" t="n">
        <v>28</v>
      </c>
      <c r="AD19" s="33" t="n">
        <v>24</v>
      </c>
      <c r="AE19" s="31" t="n">
        <v>109</v>
      </c>
    </row>
    <row r="20" customFormat="false" ht="15.75" hidden="false" customHeight="true" outlineLevel="0" collapsed="false">
      <c r="A20" s="34" t="s">
        <v>35</v>
      </c>
      <c r="B20" s="35" t="n">
        <v>73</v>
      </c>
      <c r="C20" s="35" t="n">
        <v>7</v>
      </c>
      <c r="D20" s="35" t="n">
        <v>3643</v>
      </c>
      <c r="E20" s="35" t="n">
        <v>4</v>
      </c>
      <c r="F20" s="35" t="n">
        <v>15</v>
      </c>
      <c r="G20" s="27" t="n">
        <v>109.8</v>
      </c>
      <c r="H20" s="30" t="n">
        <v>2</v>
      </c>
      <c r="I20" s="30" t="n">
        <v>1</v>
      </c>
      <c r="J20" s="37" t="n">
        <v>0</v>
      </c>
      <c r="K20" s="31" t="n">
        <v>3</v>
      </c>
      <c r="L20" s="37" t="n">
        <v>0</v>
      </c>
      <c r="M20" s="30" t="n">
        <v>1</v>
      </c>
      <c r="N20" s="37" t="n">
        <v>0</v>
      </c>
      <c r="O20" s="31" t="n">
        <v>1</v>
      </c>
      <c r="P20" s="32" t="n">
        <v>1</v>
      </c>
      <c r="Q20" s="32" t="n">
        <v>4</v>
      </c>
      <c r="R20" s="37" t="n">
        <v>0</v>
      </c>
      <c r="S20" s="31" t="n">
        <v>5</v>
      </c>
      <c r="T20" s="32" t="n">
        <v>147</v>
      </c>
      <c r="U20" s="32" t="n">
        <v>15</v>
      </c>
      <c r="V20" s="37" t="n">
        <v>0</v>
      </c>
      <c r="W20" s="31" t="n">
        <v>162</v>
      </c>
      <c r="X20" s="33" t="n">
        <v>431</v>
      </c>
      <c r="Y20" s="33" t="n">
        <v>12</v>
      </c>
      <c r="Z20" s="37" t="n">
        <v>0</v>
      </c>
      <c r="AA20" s="31" t="n">
        <v>443</v>
      </c>
      <c r="AB20" s="33" t="n">
        <v>6</v>
      </c>
      <c r="AC20" s="33" t="n">
        <v>5</v>
      </c>
      <c r="AD20" s="37" t="n">
        <v>0</v>
      </c>
      <c r="AE20" s="31" t="n">
        <v>11</v>
      </c>
    </row>
    <row r="21" customFormat="false" ht="15.75" hidden="false" customHeight="true" outlineLevel="0" collapsed="false">
      <c r="A21" s="25" t="s">
        <v>36</v>
      </c>
      <c r="B21" s="26" t="n">
        <v>47</v>
      </c>
      <c r="C21" s="26" t="n">
        <v>203</v>
      </c>
      <c r="D21" s="26" t="n">
        <v>1714</v>
      </c>
      <c r="E21" s="26" t="n">
        <v>0</v>
      </c>
      <c r="F21" s="26" t="n">
        <v>7</v>
      </c>
      <c r="G21" s="38" t="n">
        <v>0</v>
      </c>
      <c r="H21" s="28" t="n">
        <v>0</v>
      </c>
      <c r="I21" s="30" t="n">
        <v>2</v>
      </c>
      <c r="J21" s="28" t="n">
        <v>0</v>
      </c>
      <c r="K21" s="31" t="n">
        <v>2</v>
      </c>
      <c r="L21" s="30" t="n">
        <v>1</v>
      </c>
      <c r="M21" s="30" t="n">
        <v>3</v>
      </c>
      <c r="N21" s="28" t="n">
        <v>0</v>
      </c>
      <c r="O21" s="31" t="n">
        <v>4</v>
      </c>
      <c r="P21" s="32" t="n">
        <v>7</v>
      </c>
      <c r="Q21" s="32" t="n">
        <v>3</v>
      </c>
      <c r="R21" s="28" t="n">
        <v>0</v>
      </c>
      <c r="S21" s="31" t="n">
        <v>10</v>
      </c>
      <c r="T21" s="32" t="n">
        <v>293</v>
      </c>
      <c r="U21" s="32" t="n">
        <v>14</v>
      </c>
      <c r="V21" s="28" t="n">
        <v>0</v>
      </c>
      <c r="W21" s="31" t="n">
        <v>307</v>
      </c>
      <c r="X21" s="33" t="n">
        <v>315</v>
      </c>
      <c r="Y21" s="33" t="n">
        <v>84</v>
      </c>
      <c r="Z21" s="28" t="n">
        <v>0</v>
      </c>
      <c r="AA21" s="31" t="n">
        <v>399</v>
      </c>
      <c r="AB21" s="33" t="n">
        <v>5</v>
      </c>
      <c r="AC21" s="33" t="n">
        <v>25</v>
      </c>
      <c r="AD21" s="28" t="n">
        <v>0</v>
      </c>
      <c r="AE21" s="31" t="n">
        <v>30</v>
      </c>
    </row>
    <row r="22" customFormat="false" ht="15.75" hidden="false" customHeight="true" outlineLevel="0" collapsed="false">
      <c r="A22" s="34" t="s">
        <v>37</v>
      </c>
      <c r="B22" s="35" t="n">
        <v>88</v>
      </c>
      <c r="C22" s="35" t="n">
        <v>296</v>
      </c>
      <c r="D22" s="35" t="n">
        <v>3107</v>
      </c>
      <c r="E22" s="35" t="n">
        <v>2</v>
      </c>
      <c r="F22" s="35" t="n">
        <v>11</v>
      </c>
      <c r="G22" s="39" t="n">
        <v>64.4</v>
      </c>
      <c r="H22" s="37" t="n">
        <v>0</v>
      </c>
      <c r="I22" s="30" t="n">
        <v>1</v>
      </c>
      <c r="J22" s="37" t="n">
        <v>0</v>
      </c>
      <c r="K22" s="31" t="n">
        <v>1</v>
      </c>
      <c r="L22" s="37" t="n">
        <v>0</v>
      </c>
      <c r="M22" s="37" t="n">
        <v>0</v>
      </c>
      <c r="N22" s="37" t="n">
        <v>0</v>
      </c>
      <c r="O22" s="29" t="n">
        <v>0</v>
      </c>
      <c r="P22" s="32" t="n">
        <v>3</v>
      </c>
      <c r="Q22" s="32" t="n">
        <v>14</v>
      </c>
      <c r="R22" s="37" t="n">
        <v>0</v>
      </c>
      <c r="S22" s="31" t="n">
        <v>17</v>
      </c>
      <c r="T22" s="32" t="n">
        <v>535</v>
      </c>
      <c r="U22" s="32" t="n">
        <v>28</v>
      </c>
      <c r="V22" s="37" t="n">
        <v>0</v>
      </c>
      <c r="W22" s="31" t="n">
        <v>563</v>
      </c>
      <c r="X22" s="33" t="n">
        <v>1379</v>
      </c>
      <c r="Y22" s="33" t="n">
        <v>109</v>
      </c>
      <c r="Z22" s="37" t="n">
        <v>0</v>
      </c>
      <c r="AA22" s="31" t="n">
        <v>1488</v>
      </c>
      <c r="AB22" s="33" t="n">
        <v>84</v>
      </c>
      <c r="AC22" s="33" t="n">
        <v>44</v>
      </c>
      <c r="AD22" s="37" t="n">
        <v>0</v>
      </c>
      <c r="AE22" s="31" t="n">
        <v>128</v>
      </c>
    </row>
    <row r="23" customFormat="false" ht="15.75" hidden="false" customHeight="true" outlineLevel="0" collapsed="false">
      <c r="A23" s="25" t="s">
        <v>38</v>
      </c>
      <c r="B23" s="26" t="n">
        <v>1032</v>
      </c>
      <c r="C23" s="26" t="n">
        <v>615</v>
      </c>
      <c r="D23" s="26" t="n">
        <v>24633</v>
      </c>
      <c r="E23" s="26" t="n">
        <v>15</v>
      </c>
      <c r="F23" s="26" t="n">
        <v>74</v>
      </c>
      <c r="G23" s="39" t="n">
        <v>60.9</v>
      </c>
      <c r="H23" s="28" t="n">
        <v>0</v>
      </c>
      <c r="I23" s="30" t="n">
        <v>19</v>
      </c>
      <c r="J23" s="28" t="n">
        <v>0</v>
      </c>
      <c r="K23" s="31" t="n">
        <v>19</v>
      </c>
      <c r="L23" s="30" t="n">
        <v>4</v>
      </c>
      <c r="M23" s="30" t="n">
        <v>1</v>
      </c>
      <c r="N23" s="28" t="n">
        <v>0</v>
      </c>
      <c r="O23" s="31" t="n">
        <v>5</v>
      </c>
      <c r="P23" s="32" t="n">
        <v>20</v>
      </c>
      <c r="Q23" s="32" t="n">
        <v>5</v>
      </c>
      <c r="R23" s="28" t="n">
        <v>0</v>
      </c>
      <c r="S23" s="31" t="n">
        <v>25</v>
      </c>
      <c r="T23" s="32" t="n">
        <v>1084</v>
      </c>
      <c r="U23" s="32" t="n">
        <v>33</v>
      </c>
      <c r="V23" s="28" t="n">
        <v>0</v>
      </c>
      <c r="W23" s="31" t="n">
        <v>1117</v>
      </c>
      <c r="X23" s="33" t="n">
        <v>2683</v>
      </c>
      <c r="Y23" s="33" t="n">
        <v>213</v>
      </c>
      <c r="Z23" s="28" t="n">
        <v>0</v>
      </c>
      <c r="AA23" s="31" t="n">
        <v>2896</v>
      </c>
      <c r="AB23" s="33" t="n">
        <v>274</v>
      </c>
      <c r="AC23" s="33" t="n">
        <v>124</v>
      </c>
      <c r="AD23" s="28" t="n">
        <v>0</v>
      </c>
      <c r="AE23" s="31" t="n">
        <v>398</v>
      </c>
    </row>
    <row r="24" customFormat="false" ht="15.75" hidden="false" customHeight="true" outlineLevel="0" collapsed="false">
      <c r="A24" s="34" t="s">
        <v>39</v>
      </c>
      <c r="B24" s="35" t="n">
        <v>365</v>
      </c>
      <c r="C24" s="35" t="n">
        <v>559</v>
      </c>
      <c r="D24" s="35" t="n">
        <v>11121</v>
      </c>
      <c r="E24" s="35" t="n">
        <v>13</v>
      </c>
      <c r="F24" s="35" t="n">
        <v>72</v>
      </c>
      <c r="G24" s="27" t="n">
        <v>116.9</v>
      </c>
      <c r="H24" s="37" t="n">
        <v>0</v>
      </c>
      <c r="I24" s="30" t="n">
        <v>3</v>
      </c>
      <c r="J24" s="37" t="n">
        <v>0</v>
      </c>
      <c r="K24" s="31" t="n">
        <v>3</v>
      </c>
      <c r="L24" s="30" t="n">
        <v>1</v>
      </c>
      <c r="M24" s="30" t="n">
        <v>1</v>
      </c>
      <c r="N24" s="37" t="n">
        <v>0</v>
      </c>
      <c r="O24" s="31" t="n">
        <v>2</v>
      </c>
      <c r="P24" s="32" t="n">
        <v>28</v>
      </c>
      <c r="Q24" s="32" t="n">
        <v>4</v>
      </c>
      <c r="R24" s="37" t="n">
        <v>0</v>
      </c>
      <c r="S24" s="31" t="n">
        <v>32</v>
      </c>
      <c r="T24" s="32" t="n">
        <v>1138</v>
      </c>
      <c r="U24" s="32" t="n">
        <v>92</v>
      </c>
      <c r="V24" s="37" t="n">
        <v>0</v>
      </c>
      <c r="W24" s="31" t="n">
        <v>1230</v>
      </c>
      <c r="X24" s="33" t="n">
        <v>2195</v>
      </c>
      <c r="Y24" s="33" t="n">
        <v>327</v>
      </c>
      <c r="Z24" s="37" t="n">
        <v>0</v>
      </c>
      <c r="AA24" s="31" t="n">
        <v>2522</v>
      </c>
      <c r="AB24" s="33" t="n">
        <v>121</v>
      </c>
      <c r="AC24" s="33" t="n">
        <v>122</v>
      </c>
      <c r="AD24" s="37" t="n">
        <v>0</v>
      </c>
      <c r="AE24" s="31" t="n">
        <v>243</v>
      </c>
    </row>
    <row r="25" customFormat="false" ht="15.75" hidden="false" customHeight="true" outlineLevel="0" collapsed="false">
      <c r="A25" s="25" t="s">
        <v>40</v>
      </c>
      <c r="B25" s="26" t="n">
        <v>1172</v>
      </c>
      <c r="C25" s="26" t="n">
        <v>129</v>
      </c>
      <c r="D25" s="26" t="n">
        <v>13128</v>
      </c>
      <c r="E25" s="26" t="n">
        <v>7</v>
      </c>
      <c r="F25" s="26" t="n">
        <v>78</v>
      </c>
      <c r="G25" s="39" t="n">
        <v>53.3</v>
      </c>
      <c r="H25" s="30" t="n">
        <v>1</v>
      </c>
      <c r="I25" s="30" t="n">
        <v>4</v>
      </c>
      <c r="J25" s="28" t="n">
        <v>0</v>
      </c>
      <c r="K25" s="31" t="n">
        <v>5</v>
      </c>
      <c r="L25" s="30" t="n">
        <v>6</v>
      </c>
      <c r="M25" s="30" t="n">
        <v>1</v>
      </c>
      <c r="N25" s="28" t="n">
        <v>0</v>
      </c>
      <c r="O25" s="31" t="n">
        <v>7</v>
      </c>
      <c r="P25" s="32" t="n">
        <v>11</v>
      </c>
      <c r="Q25" s="32" t="n">
        <v>5</v>
      </c>
      <c r="R25" s="28" t="n">
        <v>0</v>
      </c>
      <c r="S25" s="31" t="n">
        <v>16</v>
      </c>
      <c r="T25" s="32" t="n">
        <v>630</v>
      </c>
      <c r="U25" s="32" t="n">
        <v>47</v>
      </c>
      <c r="V25" s="28" t="n">
        <v>0</v>
      </c>
      <c r="W25" s="31" t="n">
        <v>677</v>
      </c>
      <c r="X25" s="33" t="n">
        <v>1929</v>
      </c>
      <c r="Y25" s="33" t="n">
        <v>299</v>
      </c>
      <c r="Z25" s="28" t="n">
        <v>0</v>
      </c>
      <c r="AA25" s="31" t="n">
        <v>2228</v>
      </c>
      <c r="AB25" s="33" t="n">
        <v>35</v>
      </c>
      <c r="AC25" s="33" t="n">
        <v>90</v>
      </c>
      <c r="AD25" s="28" t="n">
        <v>0</v>
      </c>
      <c r="AE25" s="31" t="n">
        <v>125</v>
      </c>
    </row>
    <row r="26" customFormat="false" ht="15.75" hidden="false" customHeight="true" outlineLevel="0" collapsed="false">
      <c r="A26" s="34" t="s">
        <v>41</v>
      </c>
      <c r="B26" s="35" t="n">
        <v>157</v>
      </c>
      <c r="C26" s="35" t="n">
        <v>250</v>
      </c>
      <c r="D26" s="35" t="n">
        <v>3272</v>
      </c>
      <c r="E26" s="35" t="n">
        <v>0</v>
      </c>
      <c r="F26" s="35" t="n">
        <v>19</v>
      </c>
      <c r="G26" s="36" t="n">
        <v>0</v>
      </c>
      <c r="H26" s="37" t="n">
        <v>0</v>
      </c>
      <c r="I26" s="30" t="n">
        <v>2</v>
      </c>
      <c r="J26" s="37" t="n">
        <v>0</v>
      </c>
      <c r="K26" s="31" t="n">
        <v>2</v>
      </c>
      <c r="L26" s="37" t="n">
        <v>0</v>
      </c>
      <c r="M26" s="30" t="n">
        <v>4</v>
      </c>
      <c r="N26" s="37" t="n">
        <v>0</v>
      </c>
      <c r="O26" s="31" t="n">
        <v>4</v>
      </c>
      <c r="P26" s="32" t="n">
        <v>2</v>
      </c>
      <c r="Q26" s="32" t="n">
        <v>6</v>
      </c>
      <c r="R26" s="37" t="n">
        <v>0</v>
      </c>
      <c r="S26" s="31" t="n">
        <v>8</v>
      </c>
      <c r="T26" s="32" t="n">
        <v>252</v>
      </c>
      <c r="U26" s="32" t="n">
        <v>18</v>
      </c>
      <c r="V26" s="37" t="n">
        <v>0</v>
      </c>
      <c r="W26" s="31" t="n">
        <v>270</v>
      </c>
      <c r="X26" s="33" t="n">
        <v>423</v>
      </c>
      <c r="Y26" s="33" t="n">
        <v>41</v>
      </c>
      <c r="Z26" s="37" t="n">
        <v>0</v>
      </c>
      <c r="AA26" s="31" t="n">
        <v>464</v>
      </c>
      <c r="AB26" s="33" t="n">
        <v>9</v>
      </c>
      <c r="AC26" s="33" t="n">
        <v>23</v>
      </c>
      <c r="AD26" s="37" t="n">
        <v>0</v>
      </c>
      <c r="AE26" s="31" t="n">
        <v>32</v>
      </c>
    </row>
    <row r="27" customFormat="false" ht="15.75" hidden="false" customHeight="true" outlineLevel="0" collapsed="false">
      <c r="A27" s="25" t="s">
        <v>42</v>
      </c>
      <c r="B27" s="26" t="n">
        <v>107</v>
      </c>
      <c r="C27" s="26" t="n">
        <v>49</v>
      </c>
      <c r="D27" s="26" t="n">
        <v>3314</v>
      </c>
      <c r="E27" s="26" t="n">
        <v>1</v>
      </c>
      <c r="F27" s="26" t="n">
        <v>16</v>
      </c>
      <c r="G27" s="38" t="n">
        <v>30.2</v>
      </c>
      <c r="H27" s="28" t="n">
        <v>0</v>
      </c>
      <c r="I27" s="30" t="n">
        <v>1</v>
      </c>
      <c r="J27" s="28" t="n">
        <v>0</v>
      </c>
      <c r="K27" s="31" t="n">
        <v>1</v>
      </c>
      <c r="L27" s="28" t="n">
        <v>0</v>
      </c>
      <c r="M27" s="28" t="n">
        <v>0</v>
      </c>
      <c r="N27" s="28" t="n">
        <v>0</v>
      </c>
      <c r="O27" s="29" t="n">
        <v>0</v>
      </c>
      <c r="P27" s="32" t="n">
        <v>4</v>
      </c>
      <c r="Q27" s="32" t="n">
        <v>5</v>
      </c>
      <c r="R27" s="28" t="n">
        <v>0</v>
      </c>
      <c r="S27" s="31" t="n">
        <v>9</v>
      </c>
      <c r="T27" s="32" t="n">
        <v>208</v>
      </c>
      <c r="U27" s="32" t="n">
        <v>8</v>
      </c>
      <c r="V27" s="28" t="n">
        <v>0</v>
      </c>
      <c r="W27" s="31" t="n">
        <v>216</v>
      </c>
      <c r="X27" s="33" t="n">
        <v>343</v>
      </c>
      <c r="Y27" s="33" t="n">
        <v>22</v>
      </c>
      <c r="Z27" s="28" t="n">
        <v>0</v>
      </c>
      <c r="AA27" s="31" t="n">
        <v>365</v>
      </c>
      <c r="AB27" s="33" t="n">
        <v>14</v>
      </c>
      <c r="AC27" s="33" t="n">
        <v>25</v>
      </c>
      <c r="AD27" s="28" t="n">
        <v>0</v>
      </c>
      <c r="AE27" s="31" t="n">
        <v>39</v>
      </c>
    </row>
    <row r="28" customFormat="false" ht="15.75" hidden="false" customHeight="true" outlineLevel="0" collapsed="false">
      <c r="A28" s="34" t="s">
        <v>43</v>
      </c>
      <c r="B28" s="35" t="n">
        <v>364</v>
      </c>
      <c r="C28" s="35" t="n">
        <v>126</v>
      </c>
      <c r="D28" s="35" t="n">
        <v>12260</v>
      </c>
      <c r="E28" s="35" t="n">
        <v>9</v>
      </c>
      <c r="F28" s="35" t="n">
        <v>106</v>
      </c>
      <c r="G28" s="39" t="n">
        <v>73.4</v>
      </c>
      <c r="H28" s="30" t="n">
        <v>1</v>
      </c>
      <c r="I28" s="30" t="n">
        <v>1</v>
      </c>
      <c r="J28" s="37" t="n">
        <v>0</v>
      </c>
      <c r="K28" s="31" t="n">
        <v>2</v>
      </c>
      <c r="L28" s="37" t="n">
        <v>0</v>
      </c>
      <c r="M28" s="30" t="n">
        <v>1</v>
      </c>
      <c r="N28" s="37" t="n">
        <v>0</v>
      </c>
      <c r="O28" s="31" t="n">
        <v>1</v>
      </c>
      <c r="P28" s="32" t="n">
        <v>6</v>
      </c>
      <c r="Q28" s="32" t="n">
        <v>3</v>
      </c>
      <c r="R28" s="37" t="n">
        <v>0</v>
      </c>
      <c r="S28" s="31" t="n">
        <v>9</v>
      </c>
      <c r="T28" s="32" t="n">
        <v>392</v>
      </c>
      <c r="U28" s="32" t="n">
        <v>26</v>
      </c>
      <c r="V28" s="37" t="n">
        <v>0</v>
      </c>
      <c r="W28" s="31" t="n">
        <v>418</v>
      </c>
      <c r="X28" s="33" t="n">
        <v>1269</v>
      </c>
      <c r="Y28" s="33" t="n">
        <v>67</v>
      </c>
      <c r="Z28" s="37" t="n">
        <v>0</v>
      </c>
      <c r="AA28" s="31" t="n">
        <v>1336</v>
      </c>
      <c r="AB28" s="33" t="n">
        <v>28</v>
      </c>
      <c r="AC28" s="33" t="n">
        <v>25</v>
      </c>
      <c r="AD28" s="37" t="n">
        <v>0</v>
      </c>
      <c r="AE28" s="31" t="n">
        <v>53</v>
      </c>
    </row>
    <row r="29" customFormat="false" ht="15.75" hidden="false" customHeight="true" outlineLevel="0" collapsed="false">
      <c r="A29" s="25" t="s">
        <v>44</v>
      </c>
      <c r="B29" s="26" t="n">
        <v>1330</v>
      </c>
      <c r="C29" s="26" t="n">
        <v>56</v>
      </c>
      <c r="D29" s="26" t="n">
        <v>13224</v>
      </c>
      <c r="E29" s="26" t="n">
        <v>5</v>
      </c>
      <c r="F29" s="26" t="n">
        <v>53</v>
      </c>
      <c r="G29" s="38" t="n">
        <v>37.8</v>
      </c>
      <c r="H29" s="28" t="n">
        <v>0</v>
      </c>
      <c r="I29" s="30" t="n">
        <v>5</v>
      </c>
      <c r="J29" s="28" t="n">
        <v>0</v>
      </c>
      <c r="K29" s="31" t="n">
        <v>5</v>
      </c>
      <c r="L29" s="28" t="n">
        <v>0</v>
      </c>
      <c r="M29" s="30" t="n">
        <v>5</v>
      </c>
      <c r="N29" s="28" t="n">
        <v>0</v>
      </c>
      <c r="O29" s="31" t="n">
        <v>5</v>
      </c>
      <c r="P29" s="32" t="n">
        <v>5</v>
      </c>
      <c r="Q29" s="32" t="n">
        <v>9</v>
      </c>
      <c r="R29" s="28" t="n">
        <v>0</v>
      </c>
      <c r="S29" s="31" t="n">
        <v>14</v>
      </c>
      <c r="T29" s="32" t="n">
        <v>557</v>
      </c>
      <c r="U29" s="32" t="n">
        <v>88</v>
      </c>
      <c r="V29" s="28" t="n">
        <v>0</v>
      </c>
      <c r="W29" s="31" t="n">
        <v>645</v>
      </c>
      <c r="X29" s="33" t="n">
        <v>1771</v>
      </c>
      <c r="Y29" s="33" t="n">
        <v>319</v>
      </c>
      <c r="Z29" s="28" t="n">
        <v>0</v>
      </c>
      <c r="AA29" s="31" t="n">
        <v>2090</v>
      </c>
      <c r="AB29" s="33" t="n">
        <v>81</v>
      </c>
      <c r="AC29" s="33" t="n">
        <v>111</v>
      </c>
      <c r="AD29" s="28" t="n">
        <v>0</v>
      </c>
      <c r="AE29" s="31" t="n">
        <v>192</v>
      </c>
    </row>
    <row r="30" customFormat="false" ht="19.5" hidden="false" customHeight="true" outlineLevel="0" collapsed="false">
      <c r="A30" s="40" t="s">
        <v>45</v>
      </c>
      <c r="B30" s="31" t="n">
        <f aca="false">SUM(B5:B29)</f>
        <v>162449</v>
      </c>
      <c r="C30" s="31" t="n">
        <f aca="false">SUM(C5:C29)</f>
        <v>20619</v>
      </c>
      <c r="D30" s="31" t="n">
        <f aca="false">SUM(D5:D29)</f>
        <v>361478</v>
      </c>
      <c r="E30" s="31" t="n">
        <f aca="false">SUM(E5:E29)</f>
        <v>209</v>
      </c>
      <c r="F30" s="31" t="n">
        <f aca="false">SUM(F5:F29)</f>
        <v>3189</v>
      </c>
      <c r="G30" s="31" t="n">
        <f aca="false">SUM(G5:G29)</f>
        <v>1458.4</v>
      </c>
      <c r="H30" s="31" t="n">
        <f aca="false">SUM(H5:H29)</f>
        <v>24</v>
      </c>
      <c r="I30" s="31" t="n">
        <f aca="false">SUM(I5:I29)</f>
        <v>125</v>
      </c>
      <c r="J30" s="31" t="n">
        <f aca="false">SUM(J5:J29)</f>
        <v>498</v>
      </c>
      <c r="K30" s="31" t="n">
        <f aca="false">SUM(K5:K29)</f>
        <v>647</v>
      </c>
      <c r="L30" s="31" t="n">
        <f aca="false">SUM(L5:L29)</f>
        <v>39</v>
      </c>
      <c r="M30" s="31" t="n">
        <f aca="false">SUM(M5:M29)</f>
        <v>75</v>
      </c>
      <c r="N30" s="31" t="n">
        <f aca="false">SUM(N5:N29)</f>
        <v>87</v>
      </c>
      <c r="O30" s="31" t="n">
        <f aca="false">SUM(O5:O29)</f>
        <v>201</v>
      </c>
      <c r="P30" s="31" t="n">
        <f aca="false">SUM(P5:P29)</f>
        <v>541</v>
      </c>
      <c r="Q30" s="31" t="n">
        <f aca="false">SUM(Q5:Q29)</f>
        <v>193</v>
      </c>
      <c r="R30" s="31" t="n">
        <f aca="false">SUM(R5:R29)</f>
        <v>280</v>
      </c>
      <c r="S30" s="31" t="n">
        <f aca="false">SUM(S5:S29)</f>
        <v>1014</v>
      </c>
      <c r="T30" s="31" t="n">
        <f aca="false">SUM(T5:T29)</f>
        <v>19628</v>
      </c>
      <c r="U30" s="31" t="n">
        <f aca="false">SUM(U5:U29)</f>
        <v>1446</v>
      </c>
      <c r="V30" s="31" t="n">
        <f aca="false">SUM(V5:V29)</f>
        <v>452</v>
      </c>
      <c r="W30" s="31" t="n">
        <f aca="false">SUM(W5:W29)</f>
        <v>21526</v>
      </c>
      <c r="X30" s="31" t="n">
        <f aca="false">SUM(X5:X29)</f>
        <v>44249</v>
      </c>
      <c r="Y30" s="31" t="n">
        <f aca="false">SUM(Y5:Y29)</f>
        <v>4631</v>
      </c>
      <c r="Z30" s="31" t="n">
        <f aca="false">SUM(Z5:Z29)</f>
        <v>1032</v>
      </c>
      <c r="AA30" s="31" t="n">
        <f aca="false">SUM(AA5:AA29)</f>
        <v>49912</v>
      </c>
      <c r="AB30" s="31" t="n">
        <f aca="false">SUM(AB5:AB29)</f>
        <v>2217</v>
      </c>
      <c r="AC30" s="31" t="n">
        <f aca="false">SUM(AC5:AC29)</f>
        <v>1927</v>
      </c>
      <c r="AD30" s="31" t="n">
        <f aca="false">SUM(AD5:AD29)</f>
        <v>685</v>
      </c>
      <c r="AE30" s="31" t="n">
        <f aca="false">SUM(AE5:AE29)</f>
        <v>4829</v>
      </c>
    </row>
    <row r="32" customFormat="false" ht="36" hidden="false" customHeight="true" outlineLevel="0" collapsed="false">
      <c r="A32" s="41" t="s">
        <v>46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</sheetData>
  <mergeCells count="10">
    <mergeCell ref="A1:AE1"/>
    <mergeCell ref="A2:AE2"/>
    <mergeCell ref="B3:G3"/>
    <mergeCell ref="H3:K3"/>
    <mergeCell ref="L3:O3"/>
    <mergeCell ref="P3:S3"/>
    <mergeCell ref="T3:W3"/>
    <mergeCell ref="X3:AA3"/>
    <mergeCell ref="AB3:AE3"/>
    <mergeCell ref="A32:A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2026-04-19T19:15:51Z</dcterms:created>
  <dc:creator>openpyxl</dc:creator>
  <dc:description/>
  <dc:language>en-US</dc:language>
  <cp:lastModifiedBy/>
  <dcterms:modified xsi:type="dcterms:W3CDTF">2026-04-19T19:15:51Z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